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Test Cases" sheetId="2" r:id="rId2"/>
    <sheet name="Test Statistics" sheetId="3" r:id="rId3"/>
    <sheet name="Appointment Booking" sheetId="4" r:id="rId4"/>
    <sheet name="WF1 - Appointment" sheetId="5" r:id="rId5"/>
    <sheet name="WF2 - Reception Vet" sheetId="6" r:id="rId6"/>
    <sheet name="Anipats System &amp; Examination" sheetId="7" r:id="rId7"/>
  </sheets>
  <definedNames>
    <definedName name="ACTION">#REF!</definedName>
    <definedName name="ACTION" localSheetId="0">#REF!</definedName>
  </definedNames>
</workbook>
</file>

<file path=xl/comments1.xml><?xml version="1.0" encoding="utf-8"?>
<comments xmlns="http://schemas.openxmlformats.org/spreadsheetml/2006/main">
  <authors>
    <author>sheetjsghost</author>
  </authors>
  <commentList>
    <comment ref="D10" authorId="0">
      <text>
        <t xml:space="preserve">======
ID#AAABylEXUwQ
    (2026-01-14 06:35:27)
*A: Add
  M: Modify
  D: Delete</t>
      </text>
    </comment>
  </commentList>
</comments>
</file>

<file path=xl/comments5.xml><?xml version="1.0" encoding="utf-8"?>
<comments xmlns="http://schemas.openxmlformats.org/spreadsheetml/2006/main">
  <authors>
    <author>sheetjsghost</author>
  </authors>
  <commentList>
    <comment ref="E10" authorId="0">
      <text>
        <t xml:space="preserve">======
ID#AAABylEXUwI
tqsang    (2026-01-14 06:35:27)
List all test cases (must run before this case), conditions that must be done, or required state that the system should be in before performing this case</t>
      </text>
    </comment>
  </commentList>
</comments>
</file>

<file path=xl/comments6.xml><?xml version="1.0" encoding="utf-8"?>
<comments xmlns="http://schemas.openxmlformats.org/spreadsheetml/2006/main">
  <authors>
    <author>sheetjsghost</author>
  </authors>
  <commentList>
    <comment ref="E10" authorId="0">
      <text>
        <t xml:space="preserve">======
ID#AAABylEXUwM
tqsang    (2026-01-14 06:35:27)
List all test cases (must run before this case), conditions that must be done, or required state that the system should be in before performing this case</t>
      </text>
    </comment>
  </commentList>
</comments>
</file>

<file path=xl/comments7.xml><?xml version="1.0" encoding="utf-8"?>
<comments xmlns="http://schemas.openxmlformats.org/spreadsheetml/2006/main">
  <authors>
    <author>sheetjsghost</author>
  </authors>
  <commentList>
    <comment ref="E10" authorId="0">
      <text>
        <t xml:space="preserve">======
ID#AAABylEXUwI
tqsang    (2026-01-14 06:35:27)
List all test cases (must run before this case), conditions that must be done, or required state that the system should be in before performing this case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\-mmm\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2">
      <c r="B2" t="str">
        <v>SYSTEM TEST REPORT DOCUMENT</v>
      </c>
    </row>
    <row r="4">
      <c r="A4" t="str">
        <v>Project Name</v>
      </c>
      <c r="B4" t="str">
        <v>Anipats Veterinary Clinic Management System (VCMS)</v>
      </c>
      <c r="E4" t="str">
        <v>Creator</v>
      </c>
    </row>
    <row r="5">
      <c r="A5" t="str">
        <v>Project Code</v>
      </c>
      <c r="B5" t="str">
        <v>VCMS-ANIPATS</v>
      </c>
      <c r="E5" t="str">
        <v>Issue Date</v>
      </c>
      <c r="F5" t="str">
        <v>22/03/2026</v>
      </c>
    </row>
    <row r="6">
      <c r="A6" t="str">
        <v>Document Code</v>
      </c>
      <c r="B6" t="str">
        <f>B5&amp;"_"&amp;"XXX"&amp;"_"&amp;"vx.x"</f>
        <v>&lt;Project Code&gt;_XXX_vx.x</v>
      </c>
      <c r="E6" t="str">
        <v>Version</v>
      </c>
    </row>
    <row r="9">
      <c r="A9" t="str">
        <v>Record of change</v>
      </c>
    </row>
    <row r="10">
      <c r="A10" t="str">
        <v>Effective Date</v>
      </c>
      <c r="B10" t="str">
        <v>Version</v>
      </c>
      <c r="C10" t="str">
        <v>Change Item</v>
      </c>
      <c r="D10" t="str">
        <v>*A,D,M</v>
      </c>
      <c r="E10" t="str">
        <v>Change description</v>
      </c>
      <c r="F10" t="str">
        <v>Reference</v>
      </c>
    </row>
    <row r="11">
      <c r="A11" t="str">
        <v>22/03/2026</v>
      </c>
      <c r="F11" t="str">
        <v>RDS: Template1_RDS-Document_FIXED.docx | DB: database/VetClinicManagement1_full.sql | Web: web/WEB-INF/web.xml | Source: src/java (Servlets), web/ (JSP)</v>
      </c>
    </row>
  </sheetData>
  <mergeCells count="4">
    <mergeCell ref="B2:F2"/>
    <mergeCell ref="B4:D4"/>
    <mergeCell ref="B5:D5"/>
    <mergeCell ref="B6:D6"/>
  </mergeCells>
  <pageMargins left="0.4701388888888889" right="0.4701388888888889" top="0.5" bottom="0.35138888888888886" header="0" footer="0"/>
  <ignoredErrors>
    <ignoredError numberStoredAsText="1" sqref="A1:F1000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F1000"/>
  <sheetViews>
    <sheetView workbookViewId="0" rightToLeft="0"/>
  </sheetViews>
  <sheetData>
    <row r="1">
      <c r="D1" t="str">
        <v>TEST CASE LIST</v>
      </c>
    </row>
    <row r="3">
      <c r="B3" t="str">
        <v>Project Name</v>
      </c>
      <c r="C3" t="str">
        <v>Anipats Veterinary Clinic Management System (VCMS)</v>
      </c>
      <c r="D3" t="str">
        <f>#REF!</f>
        <v>#REF!</v>
      </c>
    </row>
    <row r="4">
      <c r="B4" t="str">
        <v>Project Code</v>
      </c>
      <c r="C4" t="str">
        <v>VCMS-ANIPATS</v>
      </c>
      <c r="D4" t="str">
        <f>#REF!</f>
        <v>#REF!</v>
      </c>
    </row>
    <row r="5" xml:space="preserve">
      <c r="B5" t="str">
        <v>Test Environment Setup Description</v>
      </c>
      <c r="D5" t="str" xml:space="preserve">
        <v xml:space="preserve">Anipats VCMS – môi trường thực tế (repo):
1. Server ứng dụng: Apache Tomcat 10+ (Jakarta Servlet 6, JSP)
2. CSDL: Microsoft SQL Server; script mẫu database/VetClinicManagement1_full.sql; JDBC sqljdbc
3. Backend: Java (controller.*, dao.impl.*, service.*, utils.*)
4. Frontend: JSP + Tailwind CDN; trình duyệt Chrome/Edge/Firefox
5. Bảo mật: session, RoleBasedAccessFilter (RBAC theo vai trò), mật khẩu hash (PasswordUtil / BCrypt tùy luồng)</v>
      </c>
    </row>
    <row r="8">
      <c r="B8" t="str">
        <v>No</v>
      </c>
      <c r="C8" t="str">
        <v>Function Name</v>
      </c>
      <c r="D8" t="str">
        <v>Sheet Name</v>
      </c>
      <c r="E8" t="str">
        <v>Description</v>
      </c>
      <c r="F8" t="str">
        <v>Pre-Condition</v>
      </c>
    </row>
    <row r="9">
      <c r="B9">
        <v>1</v>
      </c>
      <c r="C9" t="str">
        <v>Customer / Guest booking</v>
      </c>
      <c r="D9" t="str">
        <v>WF1 - Appointment Booking</v>
      </c>
    </row>
    <row r="10">
      <c r="B10">
        <v>2</v>
      </c>
      <c r="C10" t="str">
        <v>Receptionist schedule</v>
      </c>
      <c r="D10" t="str">
        <v>WF1 - Appointment Booking</v>
      </c>
    </row>
    <row r="11">
      <c r="B11">
        <v>3</v>
      </c>
      <c r="C11" t="str">
        <v>Vet queue &amp; examination</v>
      </c>
      <c r="D11" t="str">
        <v>WF1 - Appointment Booking</v>
      </c>
    </row>
    <row r="12">
      <c r="B12">
        <v>4</v>
      </c>
      <c r="C12" t="str">
        <v>Reschedule (customer request)</v>
      </c>
      <c r="D12" t="str">
        <v>WF2 - Reception / Vet / Lab</v>
      </c>
    </row>
    <row r="13">
      <c r="B13">
        <v>5</v>
      </c>
      <c r="C13" t="str">
        <v>Lab queue / reports</v>
      </c>
      <c r="D13" t="str">
        <v>WF2 - Reception / Vet / Lab</v>
      </c>
    </row>
    <row r="14">
      <c r="B14" t="str">
        <v>Anipats system + Examination (đầy đủ)</v>
      </c>
      <c r="C14" t="str">
        <v>Anipats System &amp; Examination</v>
      </c>
      <c r="D14" t="str">
        <v>PFP, Edit Profile, Receptionist, Owner, Password, DB, RBAC, Vet examination GET/POST, lab, AJAX.</v>
      </c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Workflow Name1'!A1"/>
    <hyperlink ref="D10" location="'Workflow Name1'!A1"/>
    <hyperlink ref="D11" location="'Workflow Name1'!A1"/>
    <hyperlink ref="D12" location="'Workflow Name2'!A1"/>
    <hyperlink ref="D13" location="'Workflow Name2'!A1"/>
  </hyperlinks>
  <pageMargins left="0.7479166666666667" right="0.7479166666666667" top="0.9840277777777778" bottom="1.1506944444444445" header="0" footer="0"/>
  <ignoredErrors>
    <ignoredError numberStoredAsText="1" sqref="B1:F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H1000"/>
  <sheetViews>
    <sheetView workbookViewId="0" rightToLeft="0"/>
  </sheetViews>
  <sheetData>
    <row r="1">
      <c r="B1" t="str">
        <v>TEST STATISTICS</v>
      </c>
    </row>
    <row r="3">
      <c r="B3" t="str">
        <v>Project Name</v>
      </c>
      <c r="C3" t="str">
        <v>Anipats Veterinary Clinic Management System (VCMS)</v>
      </c>
      <c r="E3" t="str">
        <v>Creator</v>
      </c>
    </row>
    <row r="4">
      <c r="B4" t="str">
        <v>Project Code</v>
      </c>
      <c r="C4" t="str">
        <v>VCMS-ANIPATS</v>
      </c>
      <c r="E4" t="str">
        <v>Reviewer/Approver</v>
      </c>
    </row>
    <row r="5">
      <c r="B5" t="str">
        <v>Document Code</v>
      </c>
      <c r="C5" t="str">
        <f>C4&amp;"_"&amp;"Test Report"&amp;"_"&amp;"vx.x"</f>
        <v>&lt;Project Code&gt;_Test Report_vx.x</v>
      </c>
      <c r="E5" t="str">
        <v>Issue Date</v>
      </c>
      <c r="H5" t="str">
        <v>22/03/2026</v>
      </c>
    </row>
    <row r="6">
      <c r="B6" t="str">
        <v>Notes</v>
      </c>
      <c r="C6" t="str">
        <v>Release: Auth (login/register/forgot-password, Google login); Customer; Receptionist; Veterinarian; Lab; Admin/Clinic Owner; Appointments; Pets; Services; Medical records; Lab queue; Owner dashboard (services/users/images)</v>
      </c>
    </row>
    <row r="10">
      <c r="B10" t="str">
        <v>No</v>
      </c>
      <c r="C10" t="str">
        <v>Module code</v>
      </c>
      <c r="D10" t="str">
        <v>Passed</v>
      </c>
      <c r="E10" t="str">
        <v>Failed</v>
      </c>
      <c r="F10" t="str">
        <v>Pending</v>
      </c>
      <c r="G10" t="str">
        <v>N/A</v>
      </c>
      <c r="H10" t="str">
        <v>Number of  test cases</v>
      </c>
    </row>
    <row r="11">
      <c r="B11" t="str">
        <v>Anipats System &amp; Examination (full)</v>
      </c>
      <c r="C11" t="str">
        <f>'Workflow Name1'!B2</f>
        <v>&lt;Workflow Name1&gt;</v>
      </c>
      <c r="D11">
        <f>'Workflow Name1'!B6</f>
        <v>0</v>
      </c>
      <c r="E11" t="str">
        <v>43</v>
      </c>
      <c r="F11">
        <f>'Workflow Name1'!D6</f>
        <v>6</v>
      </c>
      <c r="G11" t="str">
        <v>43</v>
      </c>
      <c r="H11">
        <f>'Workflow Name1'!B4</f>
        <v>8</v>
      </c>
    </row>
    <row r="12">
      <c r="B12" t="str">
        <v>WF2 — Reception Vet (Examination focus)</v>
      </c>
      <c r="C12" t="str">
        <f>'Workflow Name2'!B2</f>
        <v>&lt;Workflow Name2&gt;</v>
      </c>
      <c r="D12">
        <f>'Workflow Name2'!B6</f>
        <v>0</v>
      </c>
      <c r="E12" t="str">
        <v>17</v>
      </c>
      <c r="F12">
        <f>'Workflow Name2'!D6</f>
        <v>5</v>
      </c>
      <c r="G12" t="str">
        <v>17</v>
      </c>
      <c r="H12">
        <f>'Workflow Name2'!B4</f>
        <v>6</v>
      </c>
    </row>
    <row r="14">
      <c r="C14" t="str">
        <v>Sub total</v>
      </c>
      <c r="D14">
        <f>SUM(D9:D13)</f>
        <v>0</v>
      </c>
      <c r="E14" t="str">
        <v>60</v>
      </c>
      <c r="F14">
        <f>SUM(F9:F13)</f>
        <v>11</v>
      </c>
      <c r="G14" t="str">
        <v>60</v>
      </c>
      <c r="H14">
        <f>SUM(H9:H13)</f>
        <v>14</v>
      </c>
    </row>
    <row r="16">
      <c r="C16" t="str">
        <v>Test coverage</v>
      </c>
      <c r="E16">
        <f>(D14+E14)*100/(H14-G14)</f>
        <v>0</v>
      </c>
      <c r="F16" t="str">
        <v>%</v>
      </c>
    </row>
    <row r="17">
      <c r="C17" t="str">
        <v>Test successful coverage</v>
      </c>
      <c r="E17">
        <f>D14*100/(H14-G14)</f>
        <v>0</v>
      </c>
      <c r="F17" t="str">
        <v>%</v>
      </c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67" right="0.7479166666666667" top="0.9840277777777778" bottom="0.9840277777777777" header="0" footer="0"/>
  <ignoredErrors>
    <ignoredError numberStoredAsText="1" sqref="B1:H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003"/>
  <sheetViews>
    <sheetView workbookViewId="0" rightToLeft="0"/>
  </sheetViews>
  <sheetData>
    <row r="2">
      <c r="A2" t="str">
        <v>Workflow</v>
      </c>
      <c r="B2" t="str">
        <v>WF1 - Đặt lịch (Customer /guest book)</v>
      </c>
      <c r="S2" t="str">
        <v>Passed</v>
      </c>
    </row>
    <row r="3">
      <c r="A3" t="str">
        <v>Test requirement</v>
      </c>
      <c r="B3" t="str">
        <v>Đặt lịch khám: chọn pet, dịch vụ, ngày/giờ; kiểm tra ngày quá khứ, trùng slot, giới hạn/ngày; khách BookAppointmentServlet /book; customer Book Appointment trong app</v>
      </c>
      <c r="S3" t="str">
        <v>Failed</v>
      </c>
    </row>
    <row r="4">
      <c r="A4" t="str">
        <v>Number of TCs</v>
      </c>
      <c r="B4">
        <f>COUNTA(A12:A1003)</f>
        <v>13</v>
      </c>
      <c r="S4" t="str">
        <v>Pending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  <c r="S5" t="str">
        <v>N/A</v>
      </c>
    </row>
    <row r="6">
      <c r="A6" t="str">
        <v>Round 1</v>
      </c>
      <c r="B6">
        <f>COUNTIF($G10:$G1001,B5)</f>
        <v>0</v>
      </c>
      <c r="C6">
        <f>COUNTIF($G10:$G1001,C5)</f>
        <v>0</v>
      </c>
      <c r="D6">
        <f>COUNTIF($G10:$G1001,D5)</f>
        <v>10</v>
      </c>
      <c r="E6">
        <f>COUNTIF($G10:$G1001,E5)</f>
        <v>0</v>
      </c>
    </row>
    <row r="7">
      <c r="A7" t="str">
        <v>Round 2</v>
      </c>
      <c r="B7">
        <f>COUNTIF($G10:$G1001,B5)</f>
        <v>0</v>
      </c>
      <c r="C7">
        <f>COUNTIF($G10:$G1001,C5)</f>
        <v>0</v>
      </c>
      <c r="D7">
        <f>COUNTIF($G10:$G1001,D5)</f>
        <v>10</v>
      </c>
      <c r="E7">
        <f>COUNTIF($G10:$G1001,E5)</f>
        <v>0</v>
      </c>
    </row>
    <row r="8">
      <c r="A8" t="str">
        <v>Round 3</v>
      </c>
      <c r="B8">
        <f>COUNTIF($G10:$G1001,B5)</f>
        <v>0</v>
      </c>
      <c r="C8">
        <f>COUNTIF($G10:$G1001,C5)</f>
        <v>0</v>
      </c>
      <c r="D8">
        <f>COUNTIF($G10:$G1001,D5)</f>
        <v>10</v>
      </c>
      <c r="E8">
        <f>COUNTIF($G10:$G1001,E5)</f>
        <v>0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Evidents</v>
      </c>
      <c r="G10" t="str">
        <v>Round 1</v>
      </c>
      <c r="H10" t="str">
        <v>Test date</v>
      </c>
      <c r="I10" t="str">
        <v>Tester</v>
      </c>
      <c r="J10" t="str">
        <v>Round 2</v>
      </c>
      <c r="K10" t="str">
        <v>Test date</v>
      </c>
      <c r="L10" t="str">
        <v>Tester</v>
      </c>
      <c r="M10" t="str">
        <v>Round 3</v>
      </c>
      <c r="N10" t="str">
        <v>Test date</v>
      </c>
      <c r="O10" t="str">
        <v>Tester</v>
      </c>
      <c r="P10" t="str">
        <v>Note</v>
      </c>
    </row>
    <row r="11">
      <c r="A11" t="str">
        <v>Scenario A</v>
      </c>
    </row>
    <row r="12" xml:space="preserve">
      <c r="A12" t="str">
        <v>A-01</v>
      </c>
      <c r="B12" t="str">
        <v>Customer books an appointment successfully</v>
      </c>
      <c r="C12" t="str" xml:space="preserve">
        <v xml:space="preserve">1. Log in as Customer; 
2. Open Book Appointment; 
3. Select a pet, service, valid future date, and time slot; 
4. Click Submit Booking Request.</v>
      </c>
      <c r="D12" t="str">
        <v xml:space="preserve">A new appointment is created; the appointment appears in My Appointments; the initial status is Pending.	</v>
      </c>
      <c r="E12" t="str">
        <v>Active customer account; at least one registered pet; at least one available service; selected slot does not violate conflict or booking-limit rules.</v>
      </c>
      <c r="G12" t="str">
        <v>Pending</v>
      </c>
      <c r="J12" t="str">
        <v>Pending</v>
      </c>
      <c r="M12" t="str">
        <v>Pending</v>
      </c>
      <c r="P12" t="str">
        <v>Positive flow</v>
      </c>
    </row>
    <row r="13" xml:space="preserve">
      <c r="A13" t="str">
        <v>A-02</v>
      </c>
      <c r="B13" t="str">
        <v>Customer cannot book an appointment with a past date</v>
      </c>
      <c r="C13" t="str" xml:space="preserve">
        <v xml:space="preserve">1. Log in as Customer; 
2. Open Book Appointment; 
3. Select a past date; 
4. Enter all other required valid data; 
5. Click Submit Booking Request.</v>
      </c>
      <c r="D13" t="str">
        <v>Show validation error; no appointment created</v>
      </c>
      <c r="E13" t="str">
        <v xml:space="preserve"> Active account; has pet; has service | Screenshots: input, error, no record</v>
      </c>
      <c r="G13" t="str">
        <v>Pending</v>
      </c>
      <c r="J13" t="str">
        <v>Pending</v>
      </c>
      <c r="M13" t="str">
        <v>Pending</v>
      </c>
      <c r="P13" t="str">
        <v>Negative case</v>
      </c>
    </row>
    <row r="14" xml:space="preserve">
      <c r="A14" t="str">
        <v>A-03</v>
      </c>
      <c r="B14" t="str">
        <v xml:space="preserve">Cannot book conflicting time </v>
      </c>
      <c r="C14" t="str" xml:space="preserve">
        <v xml:space="preserve">1. Login; 
2. Select slot already booked; 
3. Submit</v>
      </c>
      <c r="D14" t="str">
        <v>Conflict error; no new appointment</v>
      </c>
      <c r="E14" t="str">
        <v xml:space="preserve">Existing appointment same time </v>
      </c>
      <c r="G14" t="str">
        <v>Pending</v>
      </c>
      <c r="J14" t="str">
        <v>Pending</v>
      </c>
      <c r="M14" t="str">
        <v>Pending</v>
      </c>
      <c r="P14" t="str">
        <v>Conflict case</v>
      </c>
    </row>
    <row r="15" xml:space="preserve">
      <c r="A15" t="str">
        <v>A-04</v>
      </c>
      <c r="B15" t="str">
        <v>Cannot exceed daily limit</v>
      </c>
      <c r="C15" t="str" xml:space="preserve">
        <v xml:space="preserve">1. Login; 
2. Try 4th booking same day; 
3. Submit </v>
      </c>
      <c r="D15" t="str">
        <v>Limit error; no new appointment</v>
      </c>
      <c r="E15" t="str">
        <v xml:space="preserve">Already has 3 appointments that day </v>
      </c>
      <c r="G15" t="str">
        <v>Pending</v>
      </c>
      <c r="J15" t="str">
        <v>Pending</v>
      </c>
      <c r="M15" t="str">
        <v>Pending</v>
      </c>
      <c r="P15" t="str">
        <v>Business rule</v>
      </c>
    </row>
    <row r="16">
      <c r="A16" t="str">
        <v>Scenario B</v>
      </c>
    </row>
    <row r="17" xml:space="preserve">
      <c r="A17" t="str">
        <v>B-01</v>
      </c>
      <c r="B17" t="str">
        <v>Confirm appointment</v>
      </c>
      <c r="C17" t="str" xml:space="preserve">
        <v xml:space="preserve">1. Login as Receptionist; 
2. Open Schedule; 
3. Confirm Pending </v>
      </c>
      <c r="D17" t="str">
        <v>Status = Confirmed; visible to customer</v>
      </c>
      <c r="E17" t="str">
        <v>Has Pending appointment</v>
      </c>
      <c r="G17" t="str">
        <v>Pending</v>
      </c>
      <c r="J17" t="str">
        <v>Pending</v>
      </c>
      <c r="M17" t="str">
        <v>Pending</v>
      </c>
    </row>
    <row r="18" xml:space="preserve">
      <c r="A18" t="str">
        <v>B-02</v>
      </c>
      <c r="B18" t="str">
        <v>Reject appointment</v>
      </c>
      <c r="C18" t="str" xml:space="preserve">
        <v xml:space="preserve">1. Login; 
2. Open Schedule; 
3. Reject Pending</v>
      </c>
      <c r="D18" t="str">
        <v xml:space="preserve">Status = Rejected </v>
      </c>
      <c r="E18" t="str">
        <v>Has Pending appointment</v>
      </c>
      <c r="G18" t="str">
        <v>Pending</v>
      </c>
      <c r="J18" t="str">
        <v>Pending</v>
      </c>
      <c r="M18" t="str">
        <v>Pending</v>
      </c>
    </row>
    <row r="19" xml:space="preserve">
      <c r="A19" t="str">
        <v>B-03</v>
      </c>
      <c r="B19" t="str">
        <v>Cancel confirmed appointment</v>
      </c>
      <c r="C19" t="str" xml:space="preserve">
        <v xml:space="preserve">1. Login; 
2. Open Schedule; 
3. Cancel Confirmed</v>
      </c>
      <c r="D19" t="str">
        <v>Status = Canceled</v>
      </c>
      <c r="E19" t="str">
        <v>Has Confirmed appointment</v>
      </c>
      <c r="G19" t="str">
        <v>Pending</v>
      </c>
      <c r="J19" t="str">
        <v>Pending</v>
      </c>
      <c r="M19" t="str">
        <v>Pending</v>
      </c>
    </row>
    <row r="20">
      <c r="A20" t="str">
        <v>Scenario C</v>
      </c>
    </row>
    <row r="21" xml:space="preserve">
      <c r="A21" t="str">
        <v>C-01</v>
      </c>
      <c r="B21" t="str">
        <v>Check-in success</v>
      </c>
      <c r="C21" t="str" xml:space="preserve">
        <v xml:space="preserve">1. Login staff; 
2. Open queue; 
3. Check-in</v>
      </c>
      <c r="D21" t="str">
        <v>Visit created; status = Checked-in</v>
      </c>
      <c r="E21" t="str">
        <v>Confirmed appointment exists</v>
      </c>
      <c r="G21" t="str">
        <v>Pending</v>
      </c>
      <c r="J21" t="str">
        <v>Pending</v>
      </c>
      <c r="M21" t="str">
        <v>Pending</v>
      </c>
      <c r="P21" t="str">
        <v>Positive</v>
      </c>
    </row>
    <row r="22">
      <c r="A22" t="str">
        <v>Scenario D</v>
      </c>
    </row>
    <row r="23" xml:space="preserve">
      <c r="A23" t="str">
        <v>D-01</v>
      </c>
      <c r="B23" t="str">
        <v>Reschedule approve</v>
      </c>
      <c r="C23" t="str" xml:space="preserve">
        <v xml:space="preserve">1. Customer request; 
2. Receptionist approve</v>
      </c>
      <c r="D23" t="str">
        <v xml:space="preserve">Time updated; status Pending; notify user </v>
      </c>
      <c r="E23" t="str">
        <v xml:space="preserve"> Future appointment</v>
      </c>
      <c r="G23" t="str">
        <v>Pending</v>
      </c>
      <c r="J23" t="str">
        <v>Pending</v>
      </c>
      <c r="M23" t="str">
        <v>Pending</v>
      </c>
      <c r="P23" t="str">
        <v>Positive</v>
      </c>
    </row>
    <row r="24" xml:space="preserve">
      <c r="A24" t="str">
        <v>D-02</v>
      </c>
      <c r="B24" t="str">
        <v>Reschedule reject</v>
      </c>
      <c r="C24" t="str" xml:space="preserve">
        <v xml:space="preserve">1. Customer request; 
2. Receptionist reject</v>
      </c>
      <c r="D24" t="str">
        <v xml:space="preserve">Time unchanged; notify user </v>
      </c>
      <c r="E24" t="str">
        <v xml:space="preserve"> Future appointment</v>
      </c>
      <c r="G24" t="str">
        <v>Pending</v>
      </c>
      <c r="J24" t="str">
        <v>Pending</v>
      </c>
      <c r="M24" t="str">
        <v>Pending</v>
      </c>
      <c r="P24" t="str">
        <v>Negative</v>
      </c>
    </row>
  </sheetData>
  <mergeCells count="3">
    <mergeCell ref="B2:E2"/>
    <mergeCell ref="B3:E3"/>
    <mergeCell ref="B4:E4"/>
  </mergeCells>
  <pageMargins left="0.7479166666666667" right="0.25" top="0.75" bottom="0.9840277777777777" header="0" footer="0"/>
  <ignoredErrors>
    <ignoredError numberStoredAsText="1" sqref="A1:S10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000"/>
  <sheetViews>
    <sheetView workbookViewId="0" rightToLeft="0"/>
  </sheetViews>
  <sheetData>
    <row r="2">
      <c r="A2" t="str">
        <v>Workflow</v>
      </c>
      <c r="B2" t="str">
        <v>WF1 - Đặt lịch (Customer /guest book)</v>
      </c>
      <c r="S2" t="str">
        <v>Passed</v>
      </c>
    </row>
    <row r="3">
      <c r="A3" t="str">
        <v>Test requirement</v>
      </c>
      <c r="B3" t="str">
        <v>Đặt lịch khám: chọn pet, dịch vụ, ngày/giờ; kiểm tra ngày quá khứ, trùng slot, giới hạn/ngày; khách BookAppointmentServlet /book; customer Book Appointment trong app</v>
      </c>
      <c r="S3" t="str">
        <v>Failed</v>
      </c>
    </row>
    <row r="4">
      <c r="A4" t="str">
        <v>Number of TCs</v>
      </c>
      <c r="B4">
        <f>COUNTA(A12:A1000)</f>
        <v>8</v>
      </c>
      <c r="S4" t="str">
        <v>Pending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  <c r="S5" t="str">
        <v>N/A</v>
      </c>
    </row>
    <row r="6">
      <c r="A6" t="str">
        <v>Round 1</v>
      </c>
      <c r="B6">
        <f>COUNTIF($G10:$G998,B5)</f>
        <v>0</v>
      </c>
      <c r="C6">
        <f>COUNTIF($G10:$G998,C5)</f>
        <v>0</v>
      </c>
      <c r="D6">
        <f>COUNTIF($G10:$G998,D5)</f>
        <v>6</v>
      </c>
      <c r="E6">
        <f>COUNTIF($G10:$G998,E5)</f>
        <v>0</v>
      </c>
    </row>
    <row r="7">
      <c r="A7" t="str">
        <v>Round 2</v>
      </c>
      <c r="B7">
        <f>COUNTIF($G10:$G998,B5)</f>
        <v>0</v>
      </c>
      <c r="C7">
        <f>COUNTIF($G10:$G998,C5)</f>
        <v>0</v>
      </c>
      <c r="D7">
        <f>COUNTIF($G10:$G998,D5)</f>
        <v>6</v>
      </c>
      <c r="E7">
        <f>COUNTIF($G10:$G998,E5)</f>
        <v>0</v>
      </c>
    </row>
    <row r="8">
      <c r="A8" t="str">
        <v>Round 3</v>
      </c>
      <c r="B8">
        <f>COUNTIF($G10:$G998,B5)</f>
        <v>0</v>
      </c>
      <c r="C8">
        <f>COUNTIF($G10:$G998,C5)</f>
        <v>0</v>
      </c>
      <c r="D8">
        <f>COUNTIF($G10:$G998,D5)</f>
        <v>6</v>
      </c>
      <c r="E8">
        <f>COUNTIF($G10:$G998,E5)</f>
        <v>0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Evidents</v>
      </c>
      <c r="G10" t="str">
        <v>Round 1</v>
      </c>
      <c r="H10" t="str">
        <v>Test date</v>
      </c>
      <c r="I10" t="str">
        <v>Tester</v>
      </c>
      <c r="J10" t="str">
        <v>Round 2</v>
      </c>
      <c r="K10" t="str">
        <v>Test date</v>
      </c>
      <c r="L10" t="str">
        <v>Tester</v>
      </c>
      <c r="M10" t="str">
        <v>Round 3</v>
      </c>
      <c r="N10" t="str">
        <v>Test date</v>
      </c>
      <c r="O10" t="str">
        <v>Tester</v>
      </c>
      <c r="P10" t="str">
        <v>Note</v>
      </c>
    </row>
    <row r="11">
      <c r="A11" t="str">
        <v>Scenario A</v>
      </c>
    </row>
    <row r="12" xml:space="preserve">
      <c r="A12" t="str">
        <v>&lt;ID1&gt;</v>
      </c>
      <c r="B12" t="str" xml:space="preserve">
        <v xml:space="preserve">&lt;Brief description of this case: what is tested?&gt;
Ex: Test viewing "Company" form.</v>
      </c>
      <c r="C12" t="str" xml:space="preserve">
        <v xml:space="preserve">&lt;Describe steps to perform this case&gt;
Ex:
1. Login the system with Manager role.
2. Click "Company" tab in the left menu.</v>
      </c>
      <c r="D12" t="str" xml:space="preserve">
        <v xml:space="preserve">&lt;Describe results which meet customer's requirement&gt;
Ex:
The "Company" view form is displayed with the folowing informations:
- Company name
- Company address
- Phone
- Fax</v>
      </c>
      <c r="E12" t="str" xml:space="preserve">
        <v xml:space="preserve">&lt;List all test cases or conditions that must be done before performing this case&gt;
</v>
      </c>
      <c r="G12" t="str">
        <v>Pending</v>
      </c>
      <c r="J12" t="str">
        <v>Pending</v>
      </c>
      <c r="M12" t="str">
        <v>Pending</v>
      </c>
    </row>
    <row r="13">
      <c r="A13" t="str">
        <v>&lt;ID2&gt;</v>
      </c>
      <c r="B13" t="str">
        <v>&lt;Test case 2&gt;</v>
      </c>
      <c r="G13" t="str">
        <v>Pending</v>
      </c>
      <c r="J13" t="str">
        <v>Pending</v>
      </c>
      <c r="M13" t="str">
        <v>Pending</v>
      </c>
    </row>
    <row r="14">
      <c r="A14" t="str">
        <v>&lt;ID3&gt;</v>
      </c>
      <c r="B14" t="str">
        <v>&lt;Test case 3&gt;</v>
      </c>
      <c r="G14" t="str">
        <v>Pending</v>
      </c>
      <c r="J14" t="str">
        <v>Pending</v>
      </c>
      <c r="M14" t="str">
        <v>Pending</v>
      </c>
    </row>
    <row r="15">
      <c r="A15" t="str">
        <v>Scenario B</v>
      </c>
    </row>
    <row r="16">
      <c r="A16" t="str">
        <v>&lt;ID4&gt;</v>
      </c>
      <c r="B16" t="str">
        <v>&lt;Test case 4&gt;</v>
      </c>
      <c r="G16" t="str">
        <v>Pending</v>
      </c>
      <c r="J16" t="str">
        <v>Pending</v>
      </c>
      <c r="M16" t="str">
        <v>Pending</v>
      </c>
    </row>
    <row r="17">
      <c r="A17" t="str">
        <v>&lt;ID5&gt;</v>
      </c>
      <c r="B17" t="str">
        <v>&lt;Test case 5&gt;</v>
      </c>
      <c r="G17" t="str">
        <v>Pending</v>
      </c>
      <c r="J17" t="str">
        <v>Pending</v>
      </c>
      <c r="M17" t="str">
        <v>Pending</v>
      </c>
    </row>
    <row r="18">
      <c r="A18" t="str">
        <v>Scenario C</v>
      </c>
    </row>
    <row r="19">
      <c r="A19" t="str">
        <v>&lt;ID6&gt;</v>
      </c>
      <c r="B19" t="str">
        <v>&lt;Test case 6&gt;</v>
      </c>
      <c r="G19" t="str">
        <v>Pending</v>
      </c>
      <c r="J19" t="str">
        <v>Pending</v>
      </c>
      <c r="M19" t="str">
        <v>Pending</v>
      </c>
    </row>
  </sheetData>
  <mergeCells count="3">
    <mergeCell ref="B2:E2"/>
    <mergeCell ref="B3:E3"/>
    <mergeCell ref="B4:E4"/>
  </mergeCells>
  <pageMargins left="0.7479166666666667" right="0.25" top="0.75" bottom="0.9840277777777777" header="0" footer="0"/>
  <ignoredErrors>
    <ignoredError numberStoredAsText="1" sqref="A1:S1000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000"/>
  <sheetViews>
    <sheetView workbookViewId="0" rightToLeft="0"/>
  </sheetViews>
  <sheetData>
    <row r="2">
      <c r="A2" t="str">
        <v>Workflow</v>
      </c>
      <c r="B2" t="str">
        <v>WF2 — Lễ tân, Vet khám, Lab (màn khám &amp; lab)</v>
      </c>
      <c r="R2" t="str">
        <v>Passed</v>
      </c>
    </row>
    <row r="3">
      <c r="A3" t="str">
        <v>Test requirement</v>
      </c>
      <c r="B3" t="str">
        <v>GET/POST examination, validate Complete, lab request, start examination AJAX. Đồng bộ sheet «Anipats System &amp; Examination» (phần TC-EX).</v>
      </c>
      <c r="R3" t="str">
        <v>Failed</v>
      </c>
    </row>
    <row r="4">
      <c r="A4" t="str">
        <v>Number of TCs</v>
      </c>
      <c r="B4" t="str">
        <v>17</v>
      </c>
      <c r="R4" t="str">
        <v>Pending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  <c r="R5" t="str">
        <v>N/A</v>
      </c>
    </row>
    <row r="6">
      <c r="A6" t="str">
        <v>Round 1</v>
      </c>
      <c r="B6" t="str">
        <v>0</v>
      </c>
      <c r="C6" t="str">
        <v>0</v>
      </c>
      <c r="D6" t="str">
        <v>17</v>
      </c>
      <c r="E6" t="str">
        <v>0</v>
      </c>
    </row>
    <row r="7">
      <c r="A7" t="str">
        <v>Round 2</v>
      </c>
      <c r="B7" t="str">
        <v>0</v>
      </c>
      <c r="C7" t="str">
        <v>0</v>
      </c>
      <c r="D7" t="str">
        <v>17</v>
      </c>
      <c r="E7" t="str">
        <v>0</v>
      </c>
    </row>
    <row r="8">
      <c r="A8" t="str">
        <v>Round 3</v>
      </c>
      <c r="B8" t="str">
        <v>0</v>
      </c>
      <c r="C8" t="str">
        <v>0</v>
      </c>
      <c r="D8" t="str">
        <v>17</v>
      </c>
      <c r="E8" t="str">
        <v>0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Round 1</v>
      </c>
      <c r="G10" t="str">
        <v>Test date</v>
      </c>
      <c r="H10" t="str">
        <v>Tester</v>
      </c>
      <c r="I10" t="str">
        <v>Round 2</v>
      </c>
      <c r="J10" t="str">
        <v>Test date</v>
      </c>
      <c r="K10" t="str">
        <v>Tester</v>
      </c>
      <c r="L10" t="str">
        <v>Round 3</v>
      </c>
      <c r="M10" t="str">
        <v>Test date</v>
      </c>
      <c r="N10" t="str">
        <v>Tester</v>
      </c>
      <c r="O10" t="str">
        <v>Note</v>
      </c>
    </row>
    <row r="11">
      <c r="A11" t="str">
        <v>Vet Examination / Lab (chi tiết)</v>
      </c>
    </row>
    <row r="12" xml:space="preserve">
      <c r="A12" t="str">
        <v>TC-EX-01</v>
      </c>
      <c r="B12" t="str">
        <v>(Vet Examination (GET)) Missing or non-numeric appointment id</v>
      </c>
      <c r="C12" t="str" xml:space="preserve">
        <v xml:space="preserve">1. Login as Veterinarian.
2. Open GET /vet/examination without id or id=abc.</v>
      </c>
      <c r="D12" t="str">
        <v>Redirect to /vet/queue.</v>
      </c>
      <c r="E12" t="str">
        <v>Vet logged in</v>
      </c>
      <c r="F12" t="str">
        <v>Pending</v>
      </c>
      <c r="I12" t="str">
        <v>Pending</v>
      </c>
      <c r="L12" t="str">
        <v>Pending</v>
      </c>
      <c r="O12" t="str">
        <v>Negative</v>
      </c>
    </row>
    <row r="13">
      <c r="A13" t="str">
        <v>TC-EX-02</v>
      </c>
      <c r="B13" t="str">
        <v>(Vet Examination (GET)) Appointment does not exist</v>
      </c>
      <c r="C13" t="str">
        <v>1. GET /vet/examination?id=999999999 (invalid id).</v>
      </c>
      <c r="D13" t="str">
        <v>Redirect .../queue?error=notfound</v>
      </c>
      <c r="E13" t="str">
        <v>Vet logged in</v>
      </c>
      <c r="F13" t="str">
        <v>Pending</v>
      </c>
      <c r="I13" t="str">
        <v>Pending</v>
      </c>
      <c r="L13" t="str">
        <v>Pending</v>
      </c>
      <c r="O13" t="str">
        <v>Negative</v>
      </c>
    </row>
    <row r="14" xml:space="preserve">
      <c r="A14" t="str">
        <v>TC-EX-03</v>
      </c>
      <c r="B14" t="str">
        <v>(Vet Examination (GET)) User not linked to vet record</v>
      </c>
      <c r="C14" t="str" xml:space="preserve">
        <v xml:space="preserve">1. Use account without vet mapping.
2. Request examination for valid id.</v>
      </c>
      <c r="D14" t="str">
        <v>Redirect .../queue?error=unauthorized</v>
      </c>
      <c r="E14" t="str">
        <v>Account without vet_id</v>
      </c>
      <c r="F14" t="str">
        <v>Pending</v>
      </c>
      <c r="I14" t="str">
        <v>Pending</v>
      </c>
      <c r="L14" t="str">
        <v>Pending</v>
      </c>
      <c r="O14" t="str">
        <v>Security</v>
      </c>
    </row>
    <row r="15">
      <c r="A15" t="str">
        <v>TC-EX-04</v>
      </c>
      <c r="B15" t="str">
        <v>(Vet Examination (GET)) Invalid appointment status for examination</v>
      </c>
      <c r="C15" t="str">
        <v>1. Open examination for appointment not in Checked-in / In-Examination.</v>
      </c>
      <c r="D15" t="str">
        <v>Redirect .../queue?error=invalidstatus</v>
      </c>
      <c r="E15" t="str">
        <v>Appointment wrong status</v>
      </c>
      <c r="F15" t="str">
        <v>Pending</v>
      </c>
      <c r="O15" t="str">
        <v>Negative</v>
      </c>
    </row>
    <row r="16">
      <c r="A16" t="str">
        <v>TC-EX-05</v>
      </c>
      <c r="B16" t="str">
        <v>(Vet Examination (GET)) Checked-in but claimed by another vet</v>
      </c>
      <c r="C16" t="str">
        <v>1. Vet A claimed; login as Vet B; open same appointment examination.</v>
      </c>
      <c r="D16" t="str">
        <v>Redirect .../queue?error=locked</v>
      </c>
      <c r="E16" t="str">
        <v>Two vet accounts</v>
      </c>
      <c r="F16" t="str">
        <v>Pending</v>
      </c>
      <c r="I16" t="str">
        <v>Pending</v>
      </c>
      <c r="L16" t="str">
        <v>Pending</v>
      </c>
      <c r="O16" t="str">
        <v>Negative</v>
      </c>
    </row>
    <row r="17" xml:space="preserve">
      <c r="A17" t="str">
        <v>TC-EX-06</v>
      </c>
      <c r="B17" t="str">
        <v>(Vet Examination (GET)) Vet already has another In-Examination visit</v>
      </c>
      <c r="C17" t="str" xml:space="preserve">
        <v xml:space="preserve">1. Vet has one visit In-Examination.
2. Try to open another examination.</v>
      </c>
      <c r="D17" t="str">
        <v>Redirect .../queue?error=busy</v>
      </c>
      <c r="E17" t="str">
        <v>Two eligible appointments</v>
      </c>
      <c r="F17" t="str">
        <v>Pending</v>
      </c>
      <c r="I17" t="str">
        <v>Pending</v>
      </c>
      <c r="L17" t="str">
        <v>Pending</v>
      </c>
      <c r="O17" t="str">
        <v>Negative</v>
      </c>
    </row>
    <row r="18" xml:space="preserve">
      <c r="A18" t="str">
        <v>TC-EX-07</v>
      </c>
      <c r="B18" t="str">
        <v>(Vet Examination (GET)) Valid access — form loads</v>
      </c>
      <c r="C18" t="str" xml:space="preserve">
        <v xml:space="preserve">1. Eligible appointment for this vet.
2. GET /vet/examination?id={id}.</v>
      </c>
      <c r="D18" t="str">
        <v>Examination page loads: visit, services, prescription, lab section as designed.</v>
      </c>
      <c r="E18" t="str">
        <v>Checked-in or In-Examination for this vet</v>
      </c>
      <c r="F18" t="str">
        <v>Pending</v>
      </c>
      <c r="O18" t="str">
        <v>Positive</v>
      </c>
    </row>
    <row r="19" xml:space="preserve">
      <c r="A19" t="str">
        <v>TC-EX-10</v>
      </c>
      <c r="B19" t="str">
        <v>(Vet Examination (POST)) Save draft (not complete)</v>
      </c>
      <c r="C19" t="str" xml:space="preserve">
        <v xml:space="preserve">1. On examination form, edit MR/services/prescription.
2. Submit without action=complete.</v>
      </c>
      <c r="D19" t="str">
        <v>Data saved; redirect back to examination?id=...</v>
      </c>
      <c r="E19" t="str">
        <v>On examination page</v>
      </c>
      <c r="F19" t="str">
        <v>Pending</v>
      </c>
      <c r="O19" t="str">
        <v>Positive</v>
      </c>
    </row>
    <row r="20" xml:space="preserve">
      <c r="A20" t="str">
        <v>TC-EX-11</v>
      </c>
      <c r="B20" t="str">
        <v>(Vet Examination (POST)) Complete visit after validation</v>
      </c>
      <c r="C20" t="str" xml:space="preserve">
        <v xml:space="preserve">1. Fill diagnosis, at least one service, valid prescription rows.
2. Submit action=complete.</v>
      </c>
      <c r="D20" t="str">
        <v>Visit completed; appointment Waiting-for-Payment; cancel pending lab if applicable; invoice if fees; notify Receptionist; redirect queue?completed=1</v>
      </c>
      <c r="E20" t="str">
        <v>Valid examination data</v>
      </c>
      <c r="F20" t="str">
        <v>Pending</v>
      </c>
      <c r="O20" t="str">
        <v>Positive / E2E</v>
      </c>
    </row>
    <row r="21">
      <c r="A21" t="str">
        <v>TC-EX-12</v>
      </c>
      <c r="B21" t="str">
        <v>(Vet Examination (POST)) Appointment id does not match vet</v>
      </c>
      <c r="C21" t="str">
        <v>1. Tamper POST appointmentId to another vet's case.</v>
      </c>
      <c r="D21" t="str">
        <v>Redirect /vet/queue</v>
      </c>
      <c r="E21" t="str">
        <v>Vet logged in</v>
      </c>
      <c r="F21" t="str">
        <v>Pending</v>
      </c>
      <c r="O21" t="str">
        <v>Security</v>
      </c>
    </row>
    <row r="22" xml:space="preserve">
      <c r="A22" t="str">
        <v>TC-EX-20</v>
      </c>
      <c r="B22" t="str">
        <v>(Vet Examination (UI)) Complete with empty diagnosis</v>
      </c>
      <c r="C22" t="str" xml:space="preserve">
        <v xml:space="preserve">1. Leave diagnosis empty.
2. Click Complete.</v>
      </c>
      <c r="D22" t="str">
        <v>Client validation; error for diagnosis; no submit</v>
      </c>
      <c r="E22" t="str">
        <v>On examination page</v>
      </c>
      <c r="F22" t="str">
        <v>Pending</v>
      </c>
      <c r="O22" t="str">
        <v>Negative</v>
      </c>
    </row>
    <row r="23" xml:space="preserve">
      <c r="A23" t="str">
        <v>TC-EX-21</v>
      </c>
      <c r="B23" t="str">
        <v>(Vet Examination (UI)) Complete with no services</v>
      </c>
      <c r="C23" t="str" xml:space="preserve">
        <v xml:space="preserve">1. Remove all services.
2. Click Complete.</v>
      </c>
      <c r="D23" t="str">
        <v>Banner: add at least one service</v>
      </c>
      <c r="E23" t="str">
        <v>On examination page</v>
      </c>
      <c r="F23" t="str">
        <v>Pending</v>
      </c>
      <c r="O23" t="str">
        <v>Negative</v>
      </c>
    </row>
    <row r="24" xml:space="preserve">
      <c r="A24" t="str">
        <v>TC-EX-22</v>
      </c>
      <c r="B24" t="str">
        <v>(Vet Examination (UI)) Prescription dosage / frequency invalid</v>
      </c>
      <c r="C24" t="str" xml:space="preserve">
        <v xml:space="preserve">1. Enter drug name but invalid dose (non-numeric) or missing frequency.
2. Complete.</v>
      </c>
      <c r="D24" t="str">
        <v>Prescription validation banner; no submit</v>
      </c>
      <c r="E24" t="str">
        <v>On examination page</v>
      </c>
      <c r="F24" t="str">
        <v>Pending</v>
      </c>
      <c r="O24" t="str">
        <v>Negative</v>
      </c>
    </row>
    <row r="25" xml:space="preserve">
      <c r="A25" t="str">
        <v>TC-EX-23</v>
      </c>
      <c r="B25" t="str">
        <v>(Vet Examination (UI)) Complete with pending lab requests</v>
      </c>
      <c r="C25" t="str" xml:space="preserve">
        <v xml:space="preserve">1. Have pending lab on visit.
2. Click Complete.</v>
      </c>
      <c r="D25" t="str">
        <v>Warning modal; option Complete Anyway if implemented</v>
      </c>
      <c r="E25" t="str">
        <v>Pending lab exists</v>
      </c>
      <c r="F25" t="str">
        <v>Pending</v>
      </c>
      <c r="O25" t="str">
        <v>Edge</v>
      </c>
    </row>
    <row r="26" xml:space="preserve">
      <c r="A26" t="str">
        <v>TC-EX-30</v>
      </c>
      <c r="B26" t="str">
        <v>(Vet Start Examination (AJAX)) Start examination from queue</v>
      </c>
      <c r="C26" t="str" xml:space="preserve">
        <v xml:space="preserve">1. From queue, trigger start examination (AJAX).
2. Repeat for locked/busy cases.</v>
      </c>
      <c r="D26" t="str">
        <v>JSON success/fail; messages for busy/locked/other vet</v>
      </c>
      <c r="E26" t="str">
        <v>Vet queue data</v>
      </c>
      <c r="F26" t="str">
        <v>Pending</v>
      </c>
      <c r="O26" t="str">
        <v>Integration</v>
      </c>
    </row>
    <row r="27" xml:space="preserve">
      <c r="A27" t="str">
        <v>TC-EX-31</v>
      </c>
      <c r="B27" t="str">
        <v>(Vet Lab Request) Create lab request from examination</v>
      </c>
      <c r="C27" t="str" xml:space="preserve">
        <v xml:space="preserve">1. On examination, submit lab request form.
2. Return to examination.</v>
      </c>
      <c r="D27" t="str">
        <v>Request tied to visit; visible in examination lab section</v>
      </c>
      <c r="E27" t="str">
        <v>Examination open</v>
      </c>
      <c r="F27" t="str">
        <v>Pending</v>
      </c>
      <c r="O27" t="str">
        <v>Positive</v>
      </c>
    </row>
    <row r="28" xml:space="preserve">
      <c r="A28" t="str">
        <v>TC-EX-32</v>
      </c>
      <c r="B28" t="str">
        <v>(Vet Lab) View lab result modal</v>
      </c>
      <c r="C28" t="str" xml:space="preserve">
        <v xml:space="preserve">1. Open examination with lab results.
2. Use viewer/modal from GET params.</v>
      </c>
      <c r="D28" t="str">
        <v>Result content displayed</v>
      </c>
      <c r="E28" t="str">
        <v>Lab result exists</v>
      </c>
      <c r="F28" t="str">
        <v>Pending</v>
      </c>
      <c r="O28" t="str">
        <v>Positive</v>
      </c>
    </row>
  </sheetData>
  <mergeCells count="3">
    <mergeCell ref="B2:E2"/>
    <mergeCell ref="B3:E3"/>
    <mergeCell ref="B4:E4"/>
  </mergeCells>
  <pageMargins left="0.7479166666666667" right="0.25" top="0.75" bottom="0.9840277777777777" header="0" footer="0"/>
  <ignoredErrors>
    <ignoredError numberStoredAsText="1" sqref="A1:R1000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00"/>
  <sheetViews>
    <sheetView workbookViewId="0" rightToLeft="0"/>
  </sheetViews>
  <sheetData>
    <row r="2">
      <c r="A2" t="str">
        <v>Workflow</v>
      </c>
      <c r="B2" t="str">
        <v>WF-Anipats: System (PFP, Profile, Receptionist, Owner, Password, RBAC) + Vet Examination</v>
      </c>
      <c r="S2" t="str">
        <v>Passed</v>
      </c>
    </row>
    <row r="3">
      <c r="A3" t="str">
        <v>Test requirement</v>
      </c>
      <c r="B3" t="str">
        <v>Đầy đủ test case đồng bộ System_Test_Cases_Anipats.csv + TC-EX (khám bệnh). Servlet: VetExaminationServlet, VetStartExaminationServlet, VetLabRequestServlet; JSP: vet/examination.jsp.</v>
      </c>
      <c r="S3" t="str">
        <v>Failed</v>
      </c>
    </row>
    <row r="4">
      <c r="A4" t="str">
        <v>Number of TCs</v>
      </c>
      <c r="B4" t="str">
        <v>43</v>
      </c>
      <c r="S4" t="str">
        <v>Pending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  <c r="S5" t="str">
        <v>N/A</v>
      </c>
    </row>
    <row r="6">
      <c r="A6" t="str">
        <v>Round 1</v>
      </c>
      <c r="B6" t="str">
        <v>0</v>
      </c>
      <c r="C6" t="str">
        <v>0</v>
      </c>
      <c r="D6" t="str">
        <v>43</v>
      </c>
      <c r="E6" t="str">
        <v>0</v>
      </c>
    </row>
    <row r="7">
      <c r="A7" t="str">
        <v>Round 2</v>
      </c>
      <c r="B7" t="str">
        <v>0</v>
      </c>
      <c r="C7" t="str">
        <v>0</v>
      </c>
      <c r="D7" t="str">
        <v>43</v>
      </c>
      <c r="E7" t="str">
        <v>0</v>
      </c>
    </row>
    <row r="8">
      <c r="A8" t="str">
        <v>Round 3</v>
      </c>
      <c r="B8" t="str">
        <v>0</v>
      </c>
      <c r="C8" t="str">
        <v>0</v>
      </c>
      <c r="D8" t="str">
        <v>43</v>
      </c>
      <c r="E8" t="str">
        <v>0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Evidents</v>
      </c>
      <c r="G10" t="str">
        <v>Round 1</v>
      </c>
      <c r="H10" t="str">
        <v>Test date</v>
      </c>
      <c r="I10" t="str">
        <v>Tester</v>
      </c>
      <c r="J10" t="str">
        <v>Round 2</v>
      </c>
      <c r="K10" t="str">
        <v>Test date</v>
      </c>
      <c r="L10" t="str">
        <v>Tester</v>
      </c>
      <c r="M10" t="str">
        <v>Round 3</v>
      </c>
      <c r="N10" t="str">
        <v>Test date</v>
      </c>
      <c r="O10" t="str">
        <v>Tester</v>
      </c>
      <c r="P10" t="str">
        <v>Note</v>
      </c>
    </row>
    <row r="11">
      <c r="A11" t="str">
        <v>Anipats — scenario groups (System + Examination)</v>
      </c>
    </row>
    <row r="12" xml:space="preserve">
      <c r="A12" t="str">
        <v>TC-PFP-01</v>
      </c>
      <c r="B12" t="str">
        <v>(Profile Photo (PFP)) Vet uploads valid JPG avatar and profile saves</v>
      </c>
      <c r="C12" t="str" xml:space="preserve">
        <v xml:space="preserve">1. Login as Veterinarian.
2. Open My Profile &gt; Edit Profile.
3. Choose a JPG file under 2MB via camera button.
4. Save Changes.</v>
      </c>
      <c r="D12" t="str">
        <v>Profile redirects with success; Users.profile_picture_url is /uploads/avatars/vet-{userId}-{timestamp}.jpg; avatar shows on profile with new image.</v>
      </c>
      <c r="E12" t="str">
        <v>Active vet account; file &lt;= 2MB</v>
      </c>
      <c r="F12" t="str">
        <v/>
      </c>
      <c r="G12" t="str">
        <v>Pending</v>
      </c>
      <c r="J12" t="str">
        <v>Pending</v>
      </c>
      <c r="M12" t="str">
        <v>Pending</v>
      </c>
      <c r="P12" t="str">
        <v>Positive</v>
      </c>
    </row>
    <row r="13" xml:space="preserve">
      <c r="A13" t="str">
        <v>TC-PFP-02</v>
      </c>
      <c r="B13" t="str">
        <v>(Profile Photo (PFP)) Upload PNG / GIF / WebP for any role using edit-profile</v>
      </c>
      <c r="C13" t="str" xml:space="preserve">
        <v xml:space="preserve">1. Login (Customer or Admin or Lab or Receptionist).
2. Edit Profile.
3. Select PNG (or GIF/WebP) under 2MB.
4. Save.</v>
      </c>
      <c r="D13" t="str">
        <v>File stored; DB path updated; image visible on profile and header (if applicable).</v>
      </c>
      <c r="E13" t="str">
        <v>Role has edit-profile page</v>
      </c>
      <c r="F13" t="str">
        <v/>
      </c>
      <c r="G13" t="str">
        <v>Pending</v>
      </c>
      <c r="J13" t="str">
        <v>Pending</v>
      </c>
      <c r="M13" t="str">
        <v>Pending</v>
      </c>
      <c r="P13" t="str">
        <v>Positive</v>
      </c>
    </row>
    <row r="14" xml:space="preserve">
      <c r="A14" t="str">
        <v>TC-PFP-03</v>
      </c>
      <c r="B14" t="str">
        <v>(Profile Photo (PFP)) Reject upload when file exceeds max size</v>
      </c>
      <c r="C14" t="str" xml:space="preserve">
        <v xml:space="preserve">1. Edit Profile.
2. Select image &gt; 2MB.
3. Save.</v>
      </c>
      <c r="D14" t="str">
        <v>Error or upload rejected; DB profile_picture_url unchanged (or no new file).</v>
      </c>
      <c r="E14" t="str">
        <v>Multipart limit 2MB file / 6MB request</v>
      </c>
      <c r="F14" t="str">
        <v/>
      </c>
      <c r="G14" t="str">
        <v>Pending</v>
      </c>
      <c r="J14" t="str">
        <v>Pending</v>
      </c>
      <c r="M14" t="str">
        <v>Pending</v>
      </c>
      <c r="P14" t="str">
        <v>Negative</v>
      </c>
    </row>
    <row r="15" xml:space="preserve">
      <c r="A15" t="str">
        <v>TC-PFP-04</v>
      </c>
      <c r="B15" t="str">
        <v>(Profile Photo (PFP)) Unsupported MIME / extension rejected</v>
      </c>
      <c r="C15" t="str" xml:space="preserve">
        <v xml:space="preserve">1. Edit Profile.
2. Upload non-image or unsupported type.
3. Save.</v>
      </c>
      <c r="D15" t="str">
        <v>No new valid path saved; optional server log [PFP] unsupported image.</v>
      </c>
      <c r="E15" t="str">
        <v>—</v>
      </c>
      <c r="F15" t="str">
        <v/>
      </c>
      <c r="G15" t="str">
        <v>Pending</v>
      </c>
      <c r="P15" t="str">
        <v>Negative</v>
      </c>
    </row>
    <row r="16" xml:space="preserve">
      <c r="A16" t="str">
        <v>TC-PFP-05</v>
      </c>
      <c r="B16" t="str">
        <v>(Profile Photo (PFP)) Save profile text without choosing new photo</v>
      </c>
      <c r="C16" t="str" xml:space="preserve">
        <v xml:space="preserve">1. Edit Profile.
2. Change name/phone/address only; do not touch file input.
3. Save.</v>
      </c>
      <c r="D16" t="str">
        <v>Fields update; profile_picture_url unchanged; no orphan requirement.</v>
      </c>
      <c r="E16" t="str">
        <v>Existing user</v>
      </c>
      <c r="F16" t="str">
        <v/>
      </c>
      <c r="G16" t="str">
        <v>Pending</v>
      </c>
      <c r="J16" t="str">
        <v>Pending</v>
      </c>
      <c r="M16" t="str">
        <v>Pending</v>
      </c>
      <c r="P16" t="str">
        <v>Regression</v>
      </c>
    </row>
    <row r="17" xml:space="preserve">
      <c r="A17" t="str">
        <v>TC-PFP-06</v>
      </c>
      <c r="B17" t="str">
        <v>(Profile Photo (PFP)) New upload replaces previous file (timestamp filename)</v>
      </c>
      <c r="C17" t="str" xml:space="preserve">
        <v xml:space="preserve">1. User already has avatar URL.
2. Upload new image.
3. Save.</v>
      </c>
      <c r="D17" t="str">
        <v>New filename with new timestamp; old file deleted when save succeeds; DB shows new path.</v>
      </c>
      <c r="E17" t="str">
        <v>Had previous /uploads/avatars/...</v>
      </c>
      <c r="F17" t="str">
        <v/>
      </c>
      <c r="G17" t="str">
        <v>Pending</v>
      </c>
      <c r="J17" t="str">
        <v>Pending</v>
      </c>
      <c r="M17" t="str">
        <v>Pending</v>
      </c>
      <c r="P17" t="str">
        <v>Positive</v>
      </c>
    </row>
    <row r="18" xml:space="preserve">
      <c r="A18" t="str">
        <v>TC-PFP-07</v>
      </c>
      <c r="B18" t="str">
        <v>(Profile Photo (PFP)) Invalid stored path rejected on load (Windows path)</v>
      </c>
      <c r="C18" t="str" xml:space="preserve">
        <v xml:space="preserve">1. (DB test) Set profile_picture_url to a Windows-style path.
2. Reload user in app.</v>
      </c>
      <c r="D18" t="str">
        <v>User model normalizes to null or ignores bad path; UI shows initial letter not broken path.</v>
      </c>
      <c r="E18" t="str">
        <v>Data setup</v>
      </c>
      <c r="F18" t="str">
        <v/>
      </c>
      <c r="G18" t="str">
        <v>Pending</v>
      </c>
      <c r="P18" t="str">
        <v>Edge / security</v>
      </c>
    </row>
    <row r="19" xml:space="preserve">
      <c r="A19" t="str">
        <v>TC-PFP-08</v>
      </c>
      <c r="B19" t="str">
        <v>(Profile Photo (PFP)) GET /uploads/avatars/{file} serves saved file</v>
      </c>
      <c r="C19" t="str" xml:space="preserve">
        <v xml:space="preserve">1. After successful upload note filename.
2. Open browser GET {context}/uploads/avatars/{filename}.</v>
      </c>
      <c r="D19" t="str">
        <v>200; image bytes; correct Content-Type.</v>
      </c>
      <c r="E19" t="str">
        <v>File exists on disk (webapp or fallback dir)</v>
      </c>
      <c r="F19" t="str">
        <v/>
      </c>
      <c r="G19" t="str">
        <v>Pending</v>
      </c>
      <c r="J19" t="str">
        <v>Pending</v>
      </c>
      <c r="M19" t="str">
        <v>Pending</v>
      </c>
      <c r="P19" t="str">
        <v>Positive</v>
      </c>
    </row>
    <row r="20" xml:space="preserve">
      <c r="A20" t="str">
        <v>TC-PFP-09</v>
      </c>
      <c r="B20" t="str">
        <v>(Profile Photo (PFP)) Session user refreshed after save</v>
      </c>
      <c r="C20" t="str" xml:space="preserve">
        <v xml:space="preserve">1. Save new avatar.
2. Navigate profile/header without re-login.</v>
      </c>
      <c r="D20" t="str">
        <v>currentUser shows updated profile_picture_url and updated_at.</v>
      </c>
      <c r="E20" t="str">
        <v>Logged in</v>
      </c>
      <c r="F20" t="str">
        <v/>
      </c>
      <c r="G20" t="str">
        <v>Pending</v>
      </c>
      <c r="P20" t="str">
        <v>Positive</v>
      </c>
    </row>
    <row r="21" xml:space="preserve">
      <c r="A21" t="str">
        <v>TC-EP-01</v>
      </c>
      <c r="B21" t="str">
        <v>(Edit Profile) Full name validation (required / letters)</v>
      </c>
      <c r="C21" t="str" xml:space="preserve">
        <v xml:space="preserve">1. Edit Profile.
2. Clear name or enter invalid characters.
3. Save.</v>
      </c>
      <c r="D21" t="str">
        <v>Redirect with validation error; no partial corrupt save.</v>
      </c>
      <c r="E21" t="str">
        <v>—</v>
      </c>
      <c r="F21" t="str">
        <v/>
      </c>
      <c r="G21" t="str">
        <v>Pending</v>
      </c>
      <c r="P21" t="str">
        <v>Negative</v>
      </c>
    </row>
    <row r="22" xml:space="preserve">
      <c r="A22" t="str">
        <v>TC-EP-02</v>
      </c>
      <c r="B22" t="str">
        <v>(Edit Profile) Phone format (10 digits starting with 0)</v>
      </c>
      <c r="C22" t="str" xml:space="preserve">
        <v xml:space="preserve">1. Enter phone not matching 0 + 9 digits.
2. Save.</v>
      </c>
      <c r="D22" t="str">
        <v>Validation error message.</v>
      </c>
      <c r="E22" t="str">
        <v>—</v>
      </c>
      <c r="F22" t="str">
        <v/>
      </c>
      <c r="G22" t="str">
        <v>Pending</v>
      </c>
      <c r="P22" t="str">
        <v>Negative</v>
      </c>
    </row>
    <row r="23" xml:space="preserve">
      <c r="A23" t="str">
        <v>TC-EP-03</v>
      </c>
      <c r="B23" t="str">
        <v>(Edit Profile) Address max length</v>
      </c>
      <c r="C23" t="str" xml:space="preserve">
        <v xml:space="preserve">1. Enter address &gt; 500 chars.
2. Save.</v>
      </c>
      <c r="D23" t="str">
        <v>Validation error.</v>
      </c>
      <c r="E23" t="str">
        <v>—</v>
      </c>
      <c r="F23" t="str">
        <v/>
      </c>
      <c r="G23" t="str">
        <v>Pending</v>
      </c>
      <c r="P23" t="str">
        <v>Negative</v>
      </c>
    </row>
    <row r="24" xml:space="preserve">
      <c r="A24" t="str">
        <v>TC-EP-04</v>
      </c>
      <c r="B24" t="str">
        <v>(Edit Profile) Email read-only not changed via form</v>
      </c>
      <c r="C24" t="str" xml:space="preserve">
        <v xml:space="preserve">1. Edit Profile.
2. Attempt to change email field (if not editable).</v>
      </c>
      <c r="D24" t="str">
        <v>Email unchanged in DB.</v>
      </c>
      <c r="E24" t="str">
        <v>—</v>
      </c>
      <c r="F24" t="str">
        <v/>
      </c>
      <c r="G24" t="str">
        <v>Pending</v>
      </c>
      <c r="P24" t="str">
        <v>Positive</v>
      </c>
    </row>
    <row r="25" xml:space="preserve">
      <c r="A25" t="str">
        <v>TC-RS-01</v>
      </c>
      <c r="B25" t="str">
        <v>(Receptionist UI) Edit Profile layout matches Vet (sidebar + card)</v>
      </c>
      <c r="C25" t="str" xml:space="preserve">
        <v xml:space="preserve">1. Login as Receptionist.
2. Open Edit Profile.</v>
      </c>
      <c r="D25" t="str">
        <v>Sidebar Anipats; breadcrumb My Profile &gt; Edit Profile; light card; camera control (not raw file input only).</v>
      </c>
      <c r="E25" t="str">
        <v>Receptionist role</v>
      </c>
      <c r="F25" t="str">
        <v/>
      </c>
      <c r="G25" t="str">
        <v>Pending</v>
      </c>
      <c r="P25" t="str">
        <v>UI / Regression</v>
      </c>
    </row>
    <row r="26" xml:space="preserve">
      <c r="A26" t="str">
        <v>TC-RS-02</v>
      </c>
      <c r="B26" t="str">
        <v>(Receptionist UI) Pending phone required flow</v>
      </c>
      <c r="C26" t="str" xml:space="preserve">
        <v xml:space="preserve">1. Session pendingPhoneRequired.
2. Open Edit Profile with ?required=phone.</v>
      </c>
      <c r="D26" t="str">
        <v>Banner + phone required; successful save clears pending and redirects per servlet.</v>
      </c>
      <c r="E26" t="str">
        <v>Feature enabled in session</v>
      </c>
      <c r="F26" t="str">
        <v/>
      </c>
      <c r="G26" t="str">
        <v>Pending</v>
      </c>
      <c r="P26" t="str">
        <v>Business rule</v>
      </c>
    </row>
    <row r="27" xml:space="preserve">
      <c r="A27" t="str">
        <v>TC-OW-01</v>
      </c>
      <c r="B27" t="str">
        <v>(Owner / Admin UI) Owner-area header shows live avatar</v>
      </c>
      <c r="C27" t="str" xml:space="preserve">
        <v xml:space="preserve">1. Login as Clinic Owner/Admin on owner dashboard or services.
2. Set profile photo in admin profile.
3. Reopen owner sheet page.</v>
      </c>
      <c r="D27" t="str">
        <v>Header circle shows uploaded image not Google placeholder.</v>
      </c>
      <c r="E27" t="str">
        <v>profile_picture_url set</v>
      </c>
      <c r="F27" t="str">
        <v/>
      </c>
      <c r="G27" t="str">
        <v>Pending</v>
      </c>
      <c r="P27" t="str">
        <v>Positive</v>
      </c>
    </row>
    <row r="28" xml:space="preserve">
      <c r="A28" t="str">
        <v>TC-OW-02</v>
      </c>
      <c r="B28" t="str">
        <v>(Owner / Admin UI) Header fallback initial when no photo</v>
      </c>
      <c r="C28" t="str" xml:space="preserve">
        <v xml:space="preserve">1. User without profile_picture_url.
2. Open owner pages with header fragment.</v>
      </c>
      <c r="D28" t="str">
        <v>Letter avatar (initial) displayed.</v>
      </c>
      <c r="E28" t="str">
        <v>No PFP in DB</v>
      </c>
      <c r="F28" t="str">
        <v/>
      </c>
      <c r="G28" t="str">
        <v>Pending</v>
      </c>
      <c r="P28" t="str">
        <v>Positive</v>
      </c>
    </row>
    <row r="29" xml:space="preserve">
      <c r="A29" t="str">
        <v>TC-PW-01</v>
      </c>
      <c r="B29" t="str">
        <v>(Change Password) Successful change with valid new password</v>
      </c>
      <c r="C29" t="str" xml:space="preserve">
        <v xml:space="preserve">1. Profile &gt; Change Password.
2. Enter correct current password.
3. New = Confirm = valid (e.g. Dev123: upper+digit, 6+ chars).
4. Submit.</v>
      </c>
      <c r="D29" t="str">
        <v>Redirect ?pw=1; login works with new password.</v>
      </c>
      <c r="E29" t="str">
        <v>Local (non-Google) user</v>
      </c>
      <c r="F29" t="str">
        <v/>
      </c>
      <c r="G29" t="str">
        <v>Pending</v>
      </c>
      <c r="P29" t="str">
        <v>Positive</v>
      </c>
    </row>
    <row r="30" xml:space="preserve">
      <c r="A30" t="str">
        <v>TC-PW-02</v>
      </c>
      <c r="B30" t="str">
        <v>(Change Password) Reject new password without uppercase</v>
      </c>
      <c r="C30" t="str" xml:space="preserve">
        <v xml:space="preserve">1. New password = dev123 (all lower).
2. Submit.</v>
      </c>
      <c r="D30" t="str">
        <v>Error: 6-128 chars with 1 uppercase and 1 number.</v>
      </c>
      <c r="E30" t="str">
        <v>—</v>
      </c>
      <c r="F30" t="str">
        <v/>
      </c>
      <c r="G30" t="str">
        <v>Pending</v>
      </c>
      <c r="P30" t="str">
        <v>Negative</v>
      </c>
    </row>
    <row r="31" xml:space="preserve">
      <c r="A31" t="str">
        <v>TC-PW-03</v>
      </c>
      <c r="B31" t="str">
        <v>(Change Password) Reject wrong current password</v>
      </c>
      <c r="C31" t="str" xml:space="preserve">
        <v xml:space="preserve">1. Enter wrong current password.
2. Valid new password.
3. Submit.</v>
      </c>
      <c r="D31" t="str">
        <v>Error: current password incorrect.</v>
      </c>
      <c r="E31" t="str">
        <v>Know real password for comparison</v>
      </c>
      <c r="F31" t="str">
        <v/>
      </c>
      <c r="G31" t="str">
        <v>Pending</v>
      </c>
      <c r="P31" t="str">
        <v>Negative</v>
      </c>
    </row>
    <row r="32" xml:space="preserve">
      <c r="A32" t="str">
        <v>TC-PW-04</v>
      </c>
      <c r="B32" t="str">
        <v>(Change Password) New and confirm mismatch</v>
      </c>
      <c r="C32" t="str" xml:space="preserve">
        <v xml:space="preserve">1. New != Confirm.
2. Submit.</v>
      </c>
      <c r="D32" t="str">
        <v>Error: passwords do not match.</v>
      </c>
      <c r="E32" t="str">
        <v>—</v>
      </c>
      <c r="F32" t="str">
        <v/>
      </c>
      <c r="G32" t="str">
        <v>Pending</v>
      </c>
      <c r="P32" t="str">
        <v>Negative</v>
      </c>
    </row>
    <row r="33" xml:space="preserve">
      <c r="A33" t="str">
        <v>TC-PW-05</v>
      </c>
      <c r="B33" t="str">
        <v>(Change Password) Google user cannot change password</v>
      </c>
      <c r="C33" t="str" xml:space="preserve">
        <v xml:space="preserve">1. Login as Google-linked user.
2. Open change password (if shown).</v>
      </c>
      <c r="D33" t="str">
        <v>Blocked or error message for Google account.</v>
      </c>
      <c r="E33" t="str">
        <v>is_google_user = true</v>
      </c>
      <c r="F33" t="str">
        <v/>
      </c>
      <c r="G33" t="str">
        <v>Pending</v>
      </c>
      <c r="P33" t="str">
        <v>Negative</v>
      </c>
    </row>
    <row r="34" xml:space="preserve">
      <c r="A34" t="str">
        <v>TC-DB-01</v>
      </c>
      <c r="B34" t="str">
        <v>(Database / DAO) updateUser writes profile_picture_url</v>
      </c>
      <c r="C34" t="str" xml:space="preserve">
        <v xml:space="preserve">1. Change avatar.
2. Query Users.profile_picture_url for user_id.</v>
      </c>
      <c r="D34" t="str">
        <v>Column matches /uploads/avatars/... path.</v>
      </c>
      <c r="E34" t="str">
        <v>SQL Server schema has profile_picture_url</v>
      </c>
      <c r="F34" t="str">
        <v/>
      </c>
      <c r="G34" t="str">
        <v>Pending</v>
      </c>
      <c r="P34" t="str">
        <v>Integration</v>
      </c>
    </row>
    <row r="35" xml:space="preserve">
      <c r="A35" t="str">
        <v>TC-AC-01</v>
      </c>
      <c r="B35" t="str">
        <v>(Security / RBAC) RoleBasedAccessFilter blocks wrong role</v>
      </c>
      <c r="C35" t="str" xml:space="preserve">
        <v xml:space="preserve">1. Login as Customer.
2. Manually request /vet/dashboard.</v>
      </c>
      <c r="D35" t="str">
        <v>Redirect forbidden or login as per filter.</v>
      </c>
      <c r="E35" t="str">
        <v>—</v>
      </c>
      <c r="F35" t="str">
        <v/>
      </c>
      <c r="G35" t="str">
        <v>Pending</v>
      </c>
      <c r="P35" t="str">
        <v>Security</v>
      </c>
    </row>
    <row r="36" xml:space="preserve">
      <c r="A36" t="str">
        <v>TC-AC-02</v>
      </c>
      <c r="B36" t="str">
        <v>(Security / RBAC) Vet can access /vet/* when role Veterinarian</v>
      </c>
      <c r="C36" t="str" xml:space="preserve">
        <v xml:space="preserve">1. Login as Vet.
2. Open vet pages.</v>
      </c>
      <c r="D36" t="str">
        <v>200 / normal page.</v>
      </c>
      <c r="E36" t="str">
        <v>Vet user</v>
      </c>
      <c r="F36" t="str">
        <v/>
      </c>
      <c r="G36" t="str">
        <v>Pending</v>
      </c>
      <c r="P36" t="str">
        <v>Positive</v>
      </c>
    </row>
    <row r="37" xml:space="preserve">
      <c r="A37" t="str">
        <v>TC-REG-01</v>
      </c>
      <c r="B37" t="str">
        <v>(System Test Doc) Import system test CSV into Template3 sheet</v>
      </c>
      <c r="C37" t="str" xml:space="preserve">
        <v xml:space="preserve">1. Open System_Test_Cases_Anipats.csv in Excel.
2. Copy rows into workflow sheets as needed.</v>
      </c>
      <c r="D37" t="str">
        <v>Data aligns with project scope.</v>
      </c>
      <c r="E37" t="str">
        <v>Template3_System-Test.xlsx</v>
      </c>
      <c r="F37" t="str">
        <v/>
      </c>
      <c r="G37" t="str">
        <v>Pending</v>
      </c>
      <c r="P37" t="str">
        <v>Process</v>
      </c>
    </row>
    <row r="38" xml:space="preserve">
      <c r="A38" t="str">
        <v>TC-EX-01</v>
      </c>
      <c r="B38" t="str">
        <v>(Vet Examination (GET)) Missing or non-numeric appointment id</v>
      </c>
      <c r="C38" t="str" xml:space="preserve">
        <v xml:space="preserve">1. Login as Veterinarian.
2. Open GET /vet/examination without id or id=abc.</v>
      </c>
      <c r="D38" t="str">
        <v>Redirect to /vet/queue.</v>
      </c>
      <c r="E38" t="str">
        <v>Vet logged in</v>
      </c>
      <c r="F38" t="str">
        <v/>
      </c>
      <c r="G38" t="str">
        <v>Pending</v>
      </c>
      <c r="P38" t="str">
        <v>Negative</v>
      </c>
    </row>
    <row r="39">
      <c r="A39" t="str">
        <v>TC-EX-02</v>
      </c>
      <c r="B39" t="str">
        <v>(Vet Examination (GET)) Appointment does not exist</v>
      </c>
      <c r="C39" t="str">
        <v>1. GET /vet/examination?id=999999999 (invalid id).</v>
      </c>
      <c r="D39" t="str">
        <v>Redirect .../queue?error=notfound</v>
      </c>
      <c r="E39" t="str">
        <v>Vet logged in</v>
      </c>
      <c r="F39" t="str">
        <v/>
      </c>
      <c r="G39" t="str">
        <v>Pending</v>
      </c>
      <c r="P39" t="str">
        <v>Negative</v>
      </c>
    </row>
    <row r="40" xml:space="preserve">
      <c r="A40" t="str">
        <v>TC-EX-03</v>
      </c>
      <c r="B40" t="str">
        <v>(Vet Examination (GET)) User not linked to vet record</v>
      </c>
      <c r="C40" t="str" xml:space="preserve">
        <v xml:space="preserve">1. Use account without vet mapping.
2. Request examination for valid id.</v>
      </c>
      <c r="D40" t="str">
        <v>Redirect .../queue?error=unauthorized</v>
      </c>
      <c r="E40" t="str">
        <v>Account without vet_id</v>
      </c>
      <c r="F40" t="str">
        <v/>
      </c>
      <c r="G40" t="str">
        <v>Pending</v>
      </c>
      <c r="P40" t="str">
        <v>Security</v>
      </c>
    </row>
    <row r="41">
      <c r="A41" t="str">
        <v>TC-EX-04</v>
      </c>
      <c r="B41" t="str">
        <v>(Vet Examination (GET)) Invalid appointment status for examination</v>
      </c>
      <c r="C41" t="str">
        <v>1. Open examination for appointment not in Checked-in / In-Examination.</v>
      </c>
      <c r="D41" t="str">
        <v>Redirect .../queue?error=invalidstatus</v>
      </c>
      <c r="E41" t="str">
        <v>Appointment wrong status</v>
      </c>
      <c r="F41" t="str">
        <v/>
      </c>
      <c r="G41" t="str">
        <v>Pending</v>
      </c>
      <c r="P41" t="str">
        <v>Negative</v>
      </c>
    </row>
    <row r="42">
      <c r="A42" t="str">
        <v>TC-EX-05</v>
      </c>
      <c r="B42" t="str">
        <v>(Vet Examination (GET)) Checked-in but claimed by another vet</v>
      </c>
      <c r="C42" t="str">
        <v>1. Vet A claimed; login as Vet B; open same appointment examination.</v>
      </c>
      <c r="D42" t="str">
        <v>Redirect .../queue?error=locked</v>
      </c>
      <c r="E42" t="str">
        <v>Two vet accounts</v>
      </c>
      <c r="F42" t="str">
        <v/>
      </c>
      <c r="G42" t="str">
        <v>Pending</v>
      </c>
      <c r="P42" t="str">
        <v>Negative</v>
      </c>
    </row>
    <row r="43" xml:space="preserve">
      <c r="A43" t="str">
        <v>TC-EX-06</v>
      </c>
      <c r="B43" t="str">
        <v>(Vet Examination (GET)) Vet already has another In-Examination visit</v>
      </c>
      <c r="C43" t="str" xml:space="preserve">
        <v xml:space="preserve">1. Vet has one visit In-Examination.
2. Try to open another examination.</v>
      </c>
      <c r="D43" t="str">
        <v>Redirect .../queue?error=busy</v>
      </c>
      <c r="E43" t="str">
        <v>Two eligible appointments</v>
      </c>
      <c r="F43" t="str">
        <v/>
      </c>
      <c r="G43" t="str">
        <v>Pending</v>
      </c>
      <c r="P43" t="str">
        <v>Negative</v>
      </c>
    </row>
    <row r="44" xml:space="preserve">
      <c r="A44" t="str">
        <v>TC-EX-07</v>
      </c>
      <c r="B44" t="str">
        <v>(Vet Examination (GET)) Valid access — form loads</v>
      </c>
      <c r="C44" t="str" xml:space="preserve">
        <v xml:space="preserve">1. Eligible appointment for this vet.
2. GET /vet/examination?id={id}.</v>
      </c>
      <c r="D44" t="str">
        <v>Examination page loads: visit, services, prescription, lab section as designed.</v>
      </c>
      <c r="E44" t="str">
        <v>Checked-in or In-Examination for this vet</v>
      </c>
      <c r="F44" t="str">
        <v/>
      </c>
      <c r="G44" t="str">
        <v>Pending</v>
      </c>
      <c r="P44" t="str">
        <v>Positive</v>
      </c>
    </row>
    <row r="45" xml:space="preserve">
      <c r="A45" t="str">
        <v>TC-EX-10</v>
      </c>
      <c r="B45" t="str">
        <v>(Vet Examination (POST)) Save draft (not complete)</v>
      </c>
      <c r="C45" t="str" xml:space="preserve">
        <v xml:space="preserve">1. On examination form, edit MR/services/prescription.
2. Submit without action=complete.</v>
      </c>
      <c r="D45" t="str">
        <v>Data saved; redirect back to examination?id=...</v>
      </c>
      <c r="E45" t="str">
        <v>On examination page</v>
      </c>
      <c r="F45" t="str">
        <v/>
      </c>
      <c r="G45" t="str">
        <v>Pending</v>
      </c>
      <c r="P45" t="str">
        <v>Positive</v>
      </c>
    </row>
    <row r="46" xml:space="preserve">
      <c r="A46" t="str">
        <v>TC-EX-11</v>
      </c>
      <c r="B46" t="str">
        <v>(Vet Examination (POST)) Complete visit after validation</v>
      </c>
      <c r="C46" t="str" xml:space="preserve">
        <v xml:space="preserve">1. Fill diagnosis, at least one service, valid prescription rows.
2. Submit action=complete.</v>
      </c>
      <c r="D46" t="str">
        <v>Visit completed; appointment Waiting-for-Payment; cancel pending lab if applicable; invoice if fees; notify Receptionist; redirect queue?completed=1</v>
      </c>
      <c r="E46" t="str">
        <v>Valid examination data</v>
      </c>
      <c r="F46" t="str">
        <v/>
      </c>
      <c r="G46" t="str">
        <v>Pending</v>
      </c>
      <c r="P46" t="str">
        <v>Positive / E2E</v>
      </c>
    </row>
    <row r="47">
      <c r="A47" t="str">
        <v>TC-EX-12</v>
      </c>
      <c r="B47" t="str">
        <v>(Vet Examination (POST)) Appointment id does not match vet</v>
      </c>
      <c r="C47" t="str">
        <v>1. Tamper POST appointmentId to another vet's case.</v>
      </c>
      <c r="D47" t="str">
        <v>Redirect /vet/queue</v>
      </c>
      <c r="E47" t="str">
        <v>Vet logged in</v>
      </c>
      <c r="F47" t="str">
        <v/>
      </c>
      <c r="G47" t="str">
        <v>Pending</v>
      </c>
      <c r="P47" t="str">
        <v>Security</v>
      </c>
    </row>
    <row r="48" xml:space="preserve">
      <c r="A48" t="str">
        <v>TC-EX-20</v>
      </c>
      <c r="B48" t="str">
        <v>(Vet Examination (UI)) Complete with empty diagnosis</v>
      </c>
      <c r="C48" t="str" xml:space="preserve">
        <v xml:space="preserve">1. Leave diagnosis empty.
2. Click Complete.</v>
      </c>
      <c r="D48" t="str">
        <v>Client validation; error for diagnosis; no submit</v>
      </c>
      <c r="E48" t="str">
        <v>On examination page</v>
      </c>
      <c r="F48" t="str">
        <v/>
      </c>
      <c r="G48" t="str">
        <v>Pending</v>
      </c>
      <c r="P48" t="str">
        <v>Negative</v>
      </c>
    </row>
    <row r="49" xml:space="preserve">
      <c r="A49" t="str">
        <v>TC-EX-21</v>
      </c>
      <c r="B49" t="str">
        <v>(Vet Examination (UI)) Complete with no services</v>
      </c>
      <c r="C49" t="str" xml:space="preserve">
        <v xml:space="preserve">1. Remove all services.
2. Click Complete.</v>
      </c>
      <c r="D49" t="str">
        <v>Banner: add at least one service</v>
      </c>
      <c r="E49" t="str">
        <v>On examination page</v>
      </c>
      <c r="F49" t="str">
        <v/>
      </c>
      <c r="G49" t="str">
        <v>Pending</v>
      </c>
      <c r="P49" t="str">
        <v>Negative</v>
      </c>
    </row>
    <row r="50" xml:space="preserve">
      <c r="A50" t="str">
        <v>TC-EX-22</v>
      </c>
      <c r="B50" t="str">
        <v>(Vet Examination (UI)) Prescription dosage / frequency invalid</v>
      </c>
      <c r="C50" t="str" xml:space="preserve">
        <v xml:space="preserve">1. Enter drug name but invalid dose (non-numeric) or missing frequency.
2. Complete.</v>
      </c>
      <c r="D50" t="str">
        <v>Prescription validation banner; no submit</v>
      </c>
      <c r="E50" t="str">
        <v>On examination page</v>
      </c>
      <c r="F50" t="str">
        <v/>
      </c>
      <c r="G50" t="str">
        <v>Pending</v>
      </c>
      <c r="P50" t="str">
        <v>Negative</v>
      </c>
    </row>
    <row r="51" xml:space="preserve">
      <c r="A51" t="str">
        <v>TC-EX-23</v>
      </c>
      <c r="B51" t="str">
        <v>(Vet Examination (UI)) Complete with pending lab requests</v>
      </c>
      <c r="C51" t="str" xml:space="preserve">
        <v xml:space="preserve">1. Have pending lab on visit.
2. Click Complete.</v>
      </c>
      <c r="D51" t="str">
        <v>Warning modal; option Complete Anyway if implemented</v>
      </c>
      <c r="E51" t="str">
        <v>Pending lab exists</v>
      </c>
      <c r="F51" t="str">
        <v/>
      </c>
      <c r="G51" t="str">
        <v>Pending</v>
      </c>
      <c r="P51" t="str">
        <v>Edge</v>
      </c>
    </row>
    <row r="52" xml:space="preserve">
      <c r="A52" t="str">
        <v>TC-EX-30</v>
      </c>
      <c r="B52" t="str">
        <v>(Vet Start Examination (AJAX)) Start examination from queue</v>
      </c>
      <c r="C52" t="str" xml:space="preserve">
        <v xml:space="preserve">1. From queue, trigger start examination (AJAX).
2. Repeat for locked/busy cases.</v>
      </c>
      <c r="D52" t="str">
        <v>JSON success/fail; messages for busy/locked/other vet</v>
      </c>
      <c r="E52" t="str">
        <v>Vet queue data</v>
      </c>
      <c r="F52" t="str">
        <v/>
      </c>
      <c r="G52" t="str">
        <v>Pending</v>
      </c>
      <c r="P52" t="str">
        <v>Integration</v>
      </c>
    </row>
    <row r="53" xml:space="preserve">
      <c r="A53" t="str">
        <v>TC-EX-31</v>
      </c>
      <c r="B53" t="str">
        <v>(Vet Lab Request) Create lab request from examination</v>
      </c>
      <c r="C53" t="str" xml:space="preserve">
        <v xml:space="preserve">1. On examination, submit lab request form.
2. Return to examination.</v>
      </c>
      <c r="D53" t="str">
        <v>Request tied to visit; visible in examination lab section</v>
      </c>
      <c r="E53" t="str">
        <v>Examination open</v>
      </c>
      <c r="F53" t="str">
        <v/>
      </c>
      <c r="G53" t="str">
        <v>Pending</v>
      </c>
      <c r="P53" t="str">
        <v>Positive</v>
      </c>
    </row>
    <row r="54" xml:space="preserve">
      <c r="A54" t="str">
        <v>TC-EX-32</v>
      </c>
      <c r="B54" t="str">
        <v>(Vet Lab) View lab result modal</v>
      </c>
      <c r="C54" t="str" xml:space="preserve">
        <v xml:space="preserve">1. Open examination with lab results.
2. Use viewer/modal from GET params.</v>
      </c>
      <c r="D54" t="str">
        <v>Result content displayed</v>
      </c>
      <c r="E54" t="str">
        <v>Lab result exists</v>
      </c>
      <c r="F54" t="str">
        <v/>
      </c>
      <c r="G54" t="str">
        <v>Pending</v>
      </c>
      <c r="P54" t="str">
        <v>Positive</v>
      </c>
    </row>
  </sheetData>
  <mergeCells count="3">
    <mergeCell ref="B2:E2"/>
    <mergeCell ref="B3:E3"/>
    <mergeCell ref="B4:E4"/>
  </mergeCells>
  <pageMargins left="0.7479166666666667" right="0.25" top="0.75" bottom="0.9840277777777777" header="0" footer="0"/>
  <ignoredErrors>
    <ignoredError numberStoredAsText="1" sqref="A1:S1000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Cases</vt:lpstr>
      <vt:lpstr>Test Statistics</vt:lpstr>
      <vt:lpstr>Appointment Booking</vt:lpstr>
      <vt:lpstr>WF1 - Appointment</vt:lpstr>
      <vt:lpstr>WF2 - Reception Vet</vt:lpstr>
      <vt:lpstr>Anipats System &amp; Examination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